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mart\"/>
    </mc:Choice>
  </mc:AlternateContent>
  <bookViews>
    <workbookView xWindow="0" yWindow="0" windowWidth="14380" windowHeight="54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S12" i="1"/>
  <c r="S13" i="1"/>
  <c r="S11" i="1"/>
  <c r="Q12" i="1"/>
  <c r="Q13" i="1"/>
  <c r="Q11" i="1"/>
  <c r="C6" i="1"/>
  <c r="F7" i="1"/>
  <c r="C7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1" i="1"/>
  <c r="C5" i="1"/>
</calcChain>
</file>

<file path=xl/sharedStrings.xml><?xml version="1.0" encoding="utf-8"?>
<sst xmlns="http://schemas.openxmlformats.org/spreadsheetml/2006/main" count="41" uniqueCount="40">
  <si>
    <t>Tarefas</t>
  </si>
  <si>
    <t>Horas progamadas</t>
  </si>
  <si>
    <t>Horas reias</t>
  </si>
  <si>
    <t>Tarefa 1</t>
  </si>
  <si>
    <t>percentual</t>
  </si>
  <si>
    <t>Tarefa 2</t>
  </si>
  <si>
    <t>Tarefa 3</t>
  </si>
  <si>
    <t>Tarefa 4</t>
  </si>
  <si>
    <t>Tarefa 5</t>
  </si>
  <si>
    <t>Tarefa 6</t>
  </si>
  <si>
    <t>Tarefa 7</t>
  </si>
  <si>
    <t>Tarefa 8</t>
  </si>
  <si>
    <t>Tarefa 9</t>
  </si>
  <si>
    <t>Tarefa 10</t>
  </si>
  <si>
    <t>Tarefa 11</t>
  </si>
  <si>
    <t>Tarefa 12</t>
  </si>
  <si>
    <t>Tarefa 13</t>
  </si>
  <si>
    <t>Tarefa 14</t>
  </si>
  <si>
    <t>Tarefa 15</t>
  </si>
  <si>
    <t>Tarefa 16</t>
  </si>
  <si>
    <t>Tarefa 17</t>
  </si>
  <si>
    <t>Tarefa 18</t>
  </si>
  <si>
    <t>Tarefa 19</t>
  </si>
  <si>
    <t>Horas Estimas do Projeto</t>
  </si>
  <si>
    <t>Horas Reais gastas</t>
  </si>
  <si>
    <t>Percentual concluido</t>
  </si>
  <si>
    <t>percentual concluido dividido pelas horas estimadas</t>
  </si>
  <si>
    <t>Horas reais gastas</t>
  </si>
  <si>
    <t>Horas trabalhadas</t>
  </si>
  <si>
    <t>atrasado</t>
  </si>
  <si>
    <t>no prazo</t>
  </si>
  <si>
    <t>Data início</t>
  </si>
  <si>
    <t>dividir as horas estimadas / qtde de dias</t>
  </si>
  <si>
    <t>dias para exe. Tarefa</t>
  </si>
  <si>
    <t>hoje</t>
  </si>
  <si>
    <t>Data prevista  de conclusão</t>
  </si>
  <si>
    <t>Semaforo</t>
  </si>
  <si>
    <t>Dias trabalhados  * horas dia da tarefa</t>
  </si>
  <si>
    <t>Qtde de dias trabalhados</t>
  </si>
  <si>
    <t>Hoje - data de inicio da tarefa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</si>
</sst>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2" applyFont="1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S29"/>
  <sheetViews>
    <sheetView tabSelected="1" topLeftCell="A2" workbookViewId="0">
      <selection activeCell="S11" sqref="S11"/>
    </sheetView>
  </sheetViews>
  <sheetFormatPr defaultRowHeight="14.5" x14ac:dyDescent="0.35"/>
  <cols>
    <col min="2" max="2" width="21.90625" bestFit="1" customWidth="1"/>
    <col min="3" max="3" width="13.7265625" customWidth="1"/>
    <col min="5" max="5" width="9.7265625" bestFit="1" customWidth="1"/>
    <col min="6" max="6" width="14.81640625" customWidth="1"/>
    <col min="8" max="8" width="23.54296875" customWidth="1"/>
    <col min="10" max="10" width="16.1796875" bestFit="1" customWidth="1"/>
    <col min="12" max="12" width="10.453125" bestFit="1" customWidth="1"/>
    <col min="13" max="13" width="10.453125" customWidth="1"/>
    <col min="14" max="14" width="16.08984375" bestFit="1" customWidth="1"/>
    <col min="15" max="16" width="12.453125" customWidth="1"/>
    <col min="17" max="17" width="34.81640625" bestFit="1" customWidth="1"/>
  </cols>
  <sheetData>
    <row r="5" spans="2:19" x14ac:dyDescent="0.35">
      <c r="B5" t="s">
        <v>23</v>
      </c>
      <c r="C5">
        <f>SUM(C11:C29)</f>
        <v>190</v>
      </c>
    </row>
    <row r="6" spans="2:19" x14ac:dyDescent="0.35">
      <c r="B6" t="s">
        <v>24</v>
      </c>
      <c r="C6">
        <f>SUM(H11:H29)</f>
        <v>27</v>
      </c>
      <c r="F6" t="s">
        <v>26</v>
      </c>
    </row>
    <row r="7" spans="2:19" x14ac:dyDescent="0.35">
      <c r="B7" t="s">
        <v>25</v>
      </c>
      <c r="C7">
        <f>SUM(J11:J29)</f>
        <v>134</v>
      </c>
      <c r="F7" s="4">
        <f>C7/C5</f>
        <v>0.70526315789473681</v>
      </c>
      <c r="M7" t="s">
        <v>38</v>
      </c>
    </row>
    <row r="8" spans="2:19" x14ac:dyDescent="0.35">
      <c r="B8" t="s">
        <v>27</v>
      </c>
      <c r="M8" t="s">
        <v>39</v>
      </c>
      <c r="O8">
        <v>9</v>
      </c>
      <c r="S8" t="s">
        <v>37</v>
      </c>
    </row>
    <row r="10" spans="2:19" x14ac:dyDescent="0.35">
      <c r="B10" t="s">
        <v>0</v>
      </c>
      <c r="C10" s="2" t="s">
        <v>1</v>
      </c>
      <c r="D10" s="2"/>
      <c r="E10" s="1" t="s">
        <v>4</v>
      </c>
      <c r="F10" s="2" t="s">
        <v>2</v>
      </c>
      <c r="G10" s="2"/>
      <c r="H10" s="2"/>
      <c r="J10" t="s">
        <v>28</v>
      </c>
      <c r="L10" t="s">
        <v>31</v>
      </c>
      <c r="M10" t="s">
        <v>34</v>
      </c>
      <c r="N10" t="s">
        <v>35</v>
      </c>
      <c r="P10" t="s">
        <v>33</v>
      </c>
      <c r="Q10" t="s">
        <v>32</v>
      </c>
      <c r="S10" t="s">
        <v>36</v>
      </c>
    </row>
    <row r="11" spans="2:19" x14ac:dyDescent="0.35">
      <c r="B11" t="s">
        <v>3</v>
      </c>
      <c r="C11">
        <v>10</v>
      </c>
      <c r="E11" s="3">
        <v>0.7</v>
      </c>
      <c r="J11">
        <f>C11*E11</f>
        <v>7</v>
      </c>
      <c r="L11" s="5">
        <v>45971</v>
      </c>
      <c r="M11" s="5">
        <v>45979</v>
      </c>
      <c r="N11" s="5">
        <v>45979</v>
      </c>
      <c r="O11" t="s">
        <v>29</v>
      </c>
      <c r="P11">
        <v>9</v>
      </c>
      <c r="Q11" s="6">
        <f>C11/P11</f>
        <v>1.1111111111111112</v>
      </c>
      <c r="S11" s="7">
        <f>Q11*$O$8</f>
        <v>10</v>
      </c>
    </row>
    <row r="12" spans="2:19" x14ac:dyDescent="0.35">
      <c r="B12" t="s">
        <v>5</v>
      </c>
      <c r="C12">
        <v>10</v>
      </c>
      <c r="E12" s="3">
        <v>0.2</v>
      </c>
      <c r="J12">
        <f t="shared" ref="J12:J29" si="0">C12*E12</f>
        <v>2</v>
      </c>
      <c r="L12" s="5">
        <v>45971</v>
      </c>
      <c r="M12" s="5">
        <v>45979</v>
      </c>
      <c r="N12" s="5">
        <v>45980</v>
      </c>
      <c r="O12" t="s">
        <v>30</v>
      </c>
      <c r="P12">
        <v>10</v>
      </c>
      <c r="Q12" s="6">
        <f t="shared" ref="Q12:Q13" si="1">C12/P12</f>
        <v>1</v>
      </c>
      <c r="S12" s="7">
        <f t="shared" ref="S12:S13" si="2">Q12*$O$8</f>
        <v>9</v>
      </c>
    </row>
    <row r="13" spans="2:19" x14ac:dyDescent="0.35">
      <c r="B13" t="s">
        <v>6</v>
      </c>
      <c r="C13">
        <v>10</v>
      </c>
      <c r="E13" s="3">
        <v>0.4</v>
      </c>
      <c r="J13">
        <f>C13*E13</f>
        <v>4</v>
      </c>
      <c r="L13" s="5">
        <v>45971</v>
      </c>
      <c r="M13" s="5">
        <v>45979</v>
      </c>
      <c r="N13" s="5">
        <v>45981</v>
      </c>
      <c r="O13" t="s">
        <v>30</v>
      </c>
      <c r="P13">
        <v>11</v>
      </c>
      <c r="Q13" s="6">
        <f t="shared" si="1"/>
        <v>0.90909090909090906</v>
      </c>
      <c r="S13" s="7">
        <f t="shared" si="2"/>
        <v>8.1818181818181817</v>
      </c>
    </row>
    <row r="14" spans="2:19" x14ac:dyDescent="0.35">
      <c r="B14" t="s">
        <v>7</v>
      </c>
      <c r="C14">
        <v>10</v>
      </c>
      <c r="E14" s="3">
        <v>1</v>
      </c>
      <c r="H14">
        <v>12</v>
      </c>
      <c r="J14">
        <f t="shared" si="0"/>
        <v>10</v>
      </c>
    </row>
    <row r="15" spans="2:19" x14ac:dyDescent="0.35">
      <c r="B15" t="s">
        <v>8</v>
      </c>
      <c r="C15">
        <v>10</v>
      </c>
      <c r="E15" s="3">
        <v>0.7</v>
      </c>
      <c r="J15">
        <f t="shared" si="0"/>
        <v>7</v>
      </c>
    </row>
    <row r="16" spans="2:19" x14ac:dyDescent="0.35">
      <c r="B16" t="s">
        <v>9</v>
      </c>
      <c r="C16">
        <v>10</v>
      </c>
      <c r="E16" s="3">
        <v>0.7</v>
      </c>
      <c r="J16">
        <f t="shared" si="0"/>
        <v>7</v>
      </c>
    </row>
    <row r="17" spans="2:10" x14ac:dyDescent="0.35">
      <c r="B17" t="s">
        <v>10</v>
      </c>
      <c r="C17">
        <v>10</v>
      </c>
      <c r="E17" s="3">
        <v>1</v>
      </c>
      <c r="H17">
        <v>10</v>
      </c>
      <c r="J17">
        <f t="shared" si="0"/>
        <v>10</v>
      </c>
    </row>
    <row r="18" spans="2:10" x14ac:dyDescent="0.35">
      <c r="B18" t="s">
        <v>11</v>
      </c>
      <c r="C18">
        <v>10</v>
      </c>
      <c r="E18" s="3">
        <v>0.7</v>
      </c>
      <c r="J18">
        <f t="shared" si="0"/>
        <v>7</v>
      </c>
    </row>
    <row r="19" spans="2:10" x14ac:dyDescent="0.35">
      <c r="B19" t="s">
        <v>12</v>
      </c>
      <c r="C19">
        <v>10</v>
      </c>
      <c r="E19" s="3">
        <v>0.7</v>
      </c>
      <c r="J19">
        <f t="shared" si="0"/>
        <v>7</v>
      </c>
    </row>
    <row r="20" spans="2:10" x14ac:dyDescent="0.35">
      <c r="B20" t="s">
        <v>13</v>
      </c>
      <c r="C20">
        <v>10</v>
      </c>
      <c r="E20" s="3">
        <v>0.7</v>
      </c>
      <c r="J20">
        <f t="shared" si="0"/>
        <v>7</v>
      </c>
    </row>
    <row r="21" spans="2:10" x14ac:dyDescent="0.35">
      <c r="B21" t="s">
        <v>14</v>
      </c>
      <c r="C21">
        <v>10</v>
      </c>
      <c r="E21" s="3">
        <v>0.7</v>
      </c>
      <c r="J21">
        <f t="shared" si="0"/>
        <v>7</v>
      </c>
    </row>
    <row r="22" spans="2:10" x14ac:dyDescent="0.35">
      <c r="B22" t="s">
        <v>15</v>
      </c>
      <c r="C22">
        <v>10</v>
      </c>
      <c r="E22" s="3">
        <v>1</v>
      </c>
      <c r="H22">
        <v>5</v>
      </c>
      <c r="J22">
        <f t="shared" si="0"/>
        <v>10</v>
      </c>
    </row>
    <row r="23" spans="2:10" x14ac:dyDescent="0.35">
      <c r="B23" t="s">
        <v>16</v>
      </c>
      <c r="C23">
        <v>10</v>
      </c>
      <c r="E23" s="3">
        <v>0.7</v>
      </c>
      <c r="J23">
        <f t="shared" si="0"/>
        <v>7</v>
      </c>
    </row>
    <row r="24" spans="2:10" x14ac:dyDescent="0.35">
      <c r="B24" t="s">
        <v>17</v>
      </c>
      <c r="C24">
        <v>10</v>
      </c>
      <c r="E24" s="3">
        <v>0.7</v>
      </c>
      <c r="J24">
        <f t="shared" si="0"/>
        <v>7</v>
      </c>
    </row>
    <row r="25" spans="2:10" x14ac:dyDescent="0.35">
      <c r="B25" t="s">
        <v>18</v>
      </c>
      <c r="C25">
        <v>10</v>
      </c>
      <c r="E25" s="3">
        <v>0.7</v>
      </c>
      <c r="J25">
        <f t="shared" si="0"/>
        <v>7</v>
      </c>
    </row>
    <row r="26" spans="2:10" x14ac:dyDescent="0.35">
      <c r="B26" t="s">
        <v>19</v>
      </c>
      <c r="C26">
        <v>10</v>
      </c>
      <c r="E26" s="3">
        <v>0.7</v>
      </c>
      <c r="J26">
        <f t="shared" si="0"/>
        <v>7</v>
      </c>
    </row>
    <row r="27" spans="2:10" x14ac:dyDescent="0.35">
      <c r="B27" t="s">
        <v>20</v>
      </c>
      <c r="C27">
        <v>10</v>
      </c>
      <c r="E27" s="3">
        <v>0.7</v>
      </c>
      <c r="J27">
        <f t="shared" si="0"/>
        <v>7</v>
      </c>
    </row>
    <row r="28" spans="2:10" x14ac:dyDescent="0.35">
      <c r="B28" t="s">
        <v>21</v>
      </c>
      <c r="C28">
        <v>10</v>
      </c>
      <c r="E28" s="3">
        <v>0.7</v>
      </c>
      <c r="J28">
        <f t="shared" si="0"/>
        <v>7</v>
      </c>
    </row>
    <row r="29" spans="2:10" x14ac:dyDescent="0.35">
      <c r="B29" t="s">
        <v>22</v>
      </c>
      <c r="C29">
        <v>10</v>
      </c>
      <c r="E29" s="3">
        <v>0.7</v>
      </c>
      <c r="J29">
        <f t="shared" si="0"/>
        <v>7</v>
      </c>
    </row>
  </sheetData>
  <mergeCells count="2">
    <mergeCell ref="C10:D10"/>
    <mergeCell ref="F10:H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2025-11-19T21:27:18Z</dcterms:created>
  <dcterms:modified xsi:type="dcterms:W3CDTF">2025-11-19T22:09:01Z</dcterms:modified>
</cp:coreProperties>
</file>